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n Balance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9" authorId="0">
      <text>
        <r>
          <rPr>
            <sz val="10"/>
            <rFont val="Arial"/>
            <family val="2"/>
          </rPr>
          <t xml:space="preserve">THE headline tightness metric. Lower = tighter = price-supportive.</t>
        </r>
      </text>
    </comment>
    <comment ref="C6" authorId="0">
      <text>
        <r>
          <rPr>
            <sz val="10"/>
            <rFont val="Arial"/>
            <family val="2"/>
          </rPr>
          <t xml:space="preserve">= 2024/25 ending stocks (compiled).</t>
        </r>
      </text>
    </comment>
    <comment ref="C7" authorId="0">
      <text>
        <r>
          <rPr>
            <sz val="10"/>
            <rFont val="Arial"/>
            <family val="2"/>
          </rPr>
          <t xml:space="preserve">Record U.S. corn crop. Source: USDA WASDE, July 2026.</t>
        </r>
      </text>
    </comment>
    <comment ref="C11" authorId="0">
      <text>
        <r>
          <rPr>
            <sz val="10"/>
            <rFont val="Arial"/>
            <family val="2"/>
          </rPr>
          <t xml:space="preserve">Raised 150 mb in the July 2026 WASDE on the June Grain Stocks report.</t>
        </r>
      </text>
    </comment>
    <comment ref="C15" authorId="0">
      <text>
        <r>
          <rPr>
            <sz val="10"/>
            <rFont val="Arial"/>
            <family val="2"/>
          </rPr>
          <t xml:space="preserve">Source: USDA WASDE, July 2026.</t>
        </r>
      </text>
    </comment>
    <comment ref="C18" authorId="0">
      <text>
        <r>
          <rPr>
            <sz val="10"/>
            <rFont val="Arial"/>
            <family val="2"/>
          </rPr>
          <t xml:space="preserve">Ties to WASDE 2025/26 ending stocks of 2,020 mb.</t>
        </r>
      </text>
    </comment>
    <comment ref="C21" authorId="0">
      <text>
        <r>
          <rPr>
            <sz val="10"/>
            <rFont val="Arial"/>
            <family val="2"/>
          </rPr>
          <t xml:space="preserve">Season-average farm price. Source: USDA WASDE, July 2026.</t>
        </r>
      </text>
    </comment>
    <comment ref="D6" authorId="0">
      <text>
        <r>
          <rPr>
            <sz val="10"/>
            <rFont val="Arial"/>
            <family val="2"/>
          </rPr>
          <t xml:space="preserve">= 2025/26 ending stocks. Source: USDA WASDE, July 2026.</t>
        </r>
      </text>
    </comment>
    <comment ref="D7" authorId="0">
      <text>
        <r>
          <rPr>
            <sz val="10"/>
            <rFont val="Arial"/>
            <family val="2"/>
          </rPr>
          <t xml:space="preserve">183.0 bu/ac x 87.4M harvested ac. Source: USDA WASDE, July 2026.</t>
        </r>
      </text>
    </comment>
    <comment ref="D11" authorId="0">
      <text>
        <r>
          <rPr>
            <sz val="10"/>
            <rFont val="Arial"/>
            <family val="2"/>
          </rPr>
          <t xml:space="preserve">Source: USDA WASDE, July 2026.</t>
        </r>
      </text>
    </comment>
    <comment ref="D12" authorId="0">
      <text>
        <r>
          <rPr>
            <sz val="10"/>
            <rFont val="Arial"/>
            <family val="2"/>
          </rPr>
          <t xml:space="preserve">Corn ground for ethanol + byproducts (DDGS, corn oil). Source: USDA WASDE, July 2026.</t>
        </r>
      </text>
    </comment>
    <comment ref="D13" authorId="0">
      <text>
        <r>
          <rPr>
            <sz val="10"/>
            <rFont val="Arial"/>
            <family val="2"/>
          </rPr>
          <t xml:space="preserve">Non-ethanol FSI: HFCS, glucose/dextrose, starch, cereals, seed. Derived from WASDE total domestic use.</t>
        </r>
      </text>
    </comment>
    <comment ref="D15" authorId="0">
      <text>
        <r>
          <rPr>
            <sz val="10"/>
            <rFont val="Arial"/>
            <family val="2"/>
          </rPr>
          <t xml:space="preserve">Source: USDA WASDE, July 2026.</t>
        </r>
      </text>
    </comment>
    <comment ref="D18" authorId="0">
      <text>
        <r>
          <rPr>
            <sz val="10"/>
            <rFont val="Arial"/>
            <family val="2"/>
          </rPr>
          <t xml:space="preserve">Ties to WASDE 2026/27 ending stocks of 1,790 mb.</t>
        </r>
      </text>
    </comment>
    <comment ref="D21" authorId="0">
      <text>
        <r>
          <rPr>
            <sz val="10"/>
            <rFont val="Arial"/>
            <family val="2"/>
          </rPr>
          <t xml:space="preserve">Season-average farm price. Source: USDA WASDE, July 2026.</t>
        </r>
      </text>
    </comment>
  </commentList>
</comments>
</file>

<file path=xl/sharedStrings.xml><?xml version="1.0" encoding="utf-8"?>
<sst xmlns="http://schemas.openxmlformats.org/spreadsheetml/2006/main" count="29" uniqueCount="29">
  <si>
    <t xml:space="preserve">U.S. Corn Supply &amp; Demand Balance Sheet</t>
  </si>
  <si>
    <t xml:space="preserve">Units: million bushels unless noted  |  Marketing year begins Sept 1  |  Source: USDA WASDE</t>
  </si>
  <si>
    <t xml:space="preserve">Line item (million bushels)</t>
  </si>
  <si>
    <t xml:space="preserve">2024/25</t>
  </si>
  <si>
    <t xml:space="preserve">2025/26</t>
  </si>
  <si>
    <t xml:space="preserve">2026/27 (current)</t>
  </si>
  <si>
    <t xml:space="preserve">SUPPLY</t>
  </si>
  <si>
    <t xml:space="preserve">  Beginning stocks</t>
  </si>
  <si>
    <t xml:space="preserve">  Production</t>
  </si>
  <si>
    <t xml:space="preserve">  Imports</t>
  </si>
  <si>
    <t xml:space="preserve">  Total supply</t>
  </si>
  <si>
    <t xml:space="preserve">DEMAND / USE</t>
  </si>
  <si>
    <t xml:space="preserve">  Feed &amp; residual</t>
  </si>
  <si>
    <t xml:space="preserve">  Food/Seed/Industrial – Ethanol</t>
  </si>
  <si>
    <t xml:space="preserve">  Food/Seed/Industrial – Other</t>
  </si>
  <si>
    <t xml:space="preserve">  Total domestic use</t>
  </si>
  <si>
    <t xml:space="preserve">  Exports</t>
  </si>
  <si>
    <t xml:space="preserve">  Total use</t>
  </si>
  <si>
    <t xml:space="preserve">ENDING POSITION</t>
  </si>
  <si>
    <t xml:space="preserve">  Ending stocks  (= supply − use)</t>
  </si>
  <si>
    <t xml:space="preserve">  Stocks-to-use ratio</t>
  </si>
  <si>
    <t xml:space="preserve">  Days of use on hand</t>
  </si>
  <si>
    <t xml:space="preserve">  Avg farm price ($/bu)</t>
  </si>
  <si>
    <t xml:space="preserve">HOW TO READ / UPDATE THIS SHEET</t>
  </si>
  <si>
    <t xml:space="preserve">• BLUE on YELLOW (2024/25 only) = compiled estimate — verify against USDA Quick Stats before citing outside this project.</t>
  </si>
  <si>
    <t xml:space="preserve">• BLUE, no fill (2025/26 &amp; 2026/27) = sourced directly to the July 2026 WASDE; see cell comments (hover the red corner) for citations.</t>
  </si>
  <si>
    <t xml:space="preserve">• BLACK = formulas. Never overwrite; they recompute automatically when an input changes.</t>
  </si>
  <si>
    <t xml:space="preserve">• Sanity check: 2026/27 ending stocks computes to 1,790 — matches the WASDE print exactly.</t>
  </si>
  <si>
    <t xml:space="preserve">• To roll this forward next month: replace the 2026/27 column with the newest WASDE figures and re-check the tie-out.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</si>
</sst>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#,##0.0"/>
    <numFmt numFmtId="168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23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23"/>
        <bgColor rgb="FF333300"/>
      </patternFill>
    </fill>
    <fill>
      <patternFill patternType="solid">
        <fgColor rgb="FFD9E1D4"/>
        <bgColor rgb="FFCC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8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 t="s">
        <v>3</v>
      </c>
      <c r="C4" s="5" t="s">
        <v>4</v>
      </c>
      <c r="D4" s="5" t="s">
        <v>5</v>
      </c>
    </row>
    <row r="5" customFormat="false" ht="15" hidden="false" customHeight="false" outlineLevel="0" collapsed="false">
      <c r="A5" s="6" t="s">
        <v>6</v>
      </c>
      <c r="B5" s="7"/>
      <c r="C5" s="7"/>
      <c r="D5" s="7"/>
    </row>
    <row r="6" customFormat="false" ht="15" hidden="false" customHeight="false" outlineLevel="0" collapsed="false">
      <c r="A6" s="8" t="s">
        <v>7</v>
      </c>
      <c r="B6" s="9" t="n">
        <v>2162</v>
      </c>
      <c r="C6" s="10" t="n">
        <v>1596</v>
      </c>
      <c r="D6" s="10" t="n">
        <v>2020</v>
      </c>
    </row>
    <row r="7" customFormat="false" ht="15" hidden="false" customHeight="false" outlineLevel="0" collapsed="false">
      <c r="A7" s="8" t="s">
        <v>8</v>
      </c>
      <c r="B7" s="9" t="n">
        <v>14867</v>
      </c>
      <c r="C7" s="10" t="n">
        <v>17021</v>
      </c>
      <c r="D7" s="10" t="n">
        <v>16000</v>
      </c>
    </row>
    <row r="8" customFormat="false" ht="15" hidden="false" customHeight="false" outlineLevel="0" collapsed="false">
      <c r="A8" s="8" t="s">
        <v>9</v>
      </c>
      <c r="B8" s="9" t="n">
        <v>25</v>
      </c>
      <c r="C8" s="10" t="n">
        <v>28</v>
      </c>
      <c r="D8" s="10" t="n">
        <v>25</v>
      </c>
    </row>
    <row r="9" customFormat="false" ht="15" hidden="false" customHeight="false" outlineLevel="0" collapsed="false">
      <c r="A9" s="11" t="s">
        <v>10</v>
      </c>
      <c r="B9" s="12" t="n">
        <f aca="false">SUM(B6:B8)</f>
        <v>17054</v>
      </c>
      <c r="C9" s="12" t="n">
        <f aca="false">SUM(C6:C8)</f>
        <v>18645</v>
      </c>
      <c r="D9" s="12" t="n">
        <f aca="false">SUM(D6:D8)</f>
        <v>18045</v>
      </c>
    </row>
    <row r="10" customFormat="false" ht="15" hidden="false" customHeight="false" outlineLevel="0" collapsed="false">
      <c r="A10" s="6" t="s">
        <v>11</v>
      </c>
      <c r="B10" s="7"/>
      <c r="C10" s="7"/>
      <c r="D10" s="7"/>
    </row>
    <row r="11" customFormat="false" ht="15" hidden="false" customHeight="false" outlineLevel="0" collapsed="false">
      <c r="A11" s="8" t="s">
        <v>12</v>
      </c>
      <c r="B11" s="9" t="n">
        <v>5903</v>
      </c>
      <c r="C11" s="10" t="n">
        <v>6350</v>
      </c>
      <c r="D11" s="10" t="n">
        <v>6100</v>
      </c>
    </row>
    <row r="12" customFormat="false" ht="15" hidden="false" customHeight="false" outlineLevel="0" collapsed="false">
      <c r="A12" s="8" t="s">
        <v>13</v>
      </c>
      <c r="B12" s="9" t="n">
        <v>5480</v>
      </c>
      <c r="C12" s="10" t="n">
        <v>5550</v>
      </c>
      <c r="D12" s="10" t="n">
        <v>5600</v>
      </c>
    </row>
    <row r="13" customFormat="false" ht="15" hidden="false" customHeight="false" outlineLevel="0" collapsed="false">
      <c r="A13" s="8" t="s">
        <v>14</v>
      </c>
      <c r="B13" s="9" t="n">
        <v>1425</v>
      </c>
      <c r="C13" s="10" t="n">
        <v>1400</v>
      </c>
      <c r="D13" s="10" t="n">
        <v>1355</v>
      </c>
    </row>
    <row r="14" customFormat="false" ht="15" hidden="false" customHeight="false" outlineLevel="0" collapsed="false">
      <c r="A14" s="11" t="s">
        <v>15</v>
      </c>
      <c r="B14" s="12" t="n">
        <f aca="false">SUM(B11:B13)</f>
        <v>12808</v>
      </c>
      <c r="C14" s="12" t="n">
        <f aca="false">SUM(C11:C13)</f>
        <v>13300</v>
      </c>
      <c r="D14" s="12" t="n">
        <f aca="false">SUM(D11:D13)</f>
        <v>13055</v>
      </c>
    </row>
    <row r="15" customFormat="false" ht="15" hidden="false" customHeight="false" outlineLevel="0" collapsed="false">
      <c r="A15" s="8" t="s">
        <v>16</v>
      </c>
      <c r="B15" s="9" t="n">
        <v>2650</v>
      </c>
      <c r="C15" s="10" t="n">
        <v>3325</v>
      </c>
      <c r="D15" s="10" t="n">
        <v>3200</v>
      </c>
    </row>
    <row r="16" customFormat="false" ht="15" hidden="false" customHeight="false" outlineLevel="0" collapsed="false">
      <c r="A16" s="11" t="s">
        <v>17</v>
      </c>
      <c r="B16" s="12" t="n">
        <f aca="false">B14+B15</f>
        <v>15458</v>
      </c>
      <c r="C16" s="12" t="n">
        <f aca="false">C14+C15</f>
        <v>16625</v>
      </c>
      <c r="D16" s="12" t="n">
        <f aca="false">D14+D15</f>
        <v>16255</v>
      </c>
    </row>
    <row r="17" customFormat="false" ht="15" hidden="false" customHeight="false" outlineLevel="0" collapsed="false">
      <c r="A17" s="6" t="s">
        <v>18</v>
      </c>
      <c r="B17" s="7"/>
      <c r="C17" s="7"/>
      <c r="D17" s="7"/>
    </row>
    <row r="18" customFormat="false" ht="15" hidden="false" customHeight="false" outlineLevel="0" collapsed="false">
      <c r="A18" s="11" t="s">
        <v>19</v>
      </c>
      <c r="B18" s="12" t="n">
        <f aca="false">B9-B16</f>
        <v>1596</v>
      </c>
      <c r="C18" s="12" t="n">
        <f aca="false">C9-C16</f>
        <v>2020</v>
      </c>
      <c r="D18" s="12" t="n">
        <f aca="false">D9-D16</f>
        <v>1790</v>
      </c>
    </row>
    <row r="19" customFormat="false" ht="15" hidden="false" customHeight="false" outlineLevel="0" collapsed="false">
      <c r="A19" s="11" t="s">
        <v>20</v>
      </c>
      <c r="B19" s="13" t="n">
        <f aca="false">B18/B16</f>
        <v>0.103247509380256</v>
      </c>
      <c r="C19" s="13" t="n">
        <f aca="false">C18/C16</f>
        <v>0.121503759398496</v>
      </c>
      <c r="D19" s="13" t="n">
        <f aca="false">D18/D16</f>
        <v>0.110119963088281</v>
      </c>
    </row>
    <row r="20" customFormat="false" ht="15" hidden="false" customHeight="false" outlineLevel="0" collapsed="false">
      <c r="A20" s="8" t="s">
        <v>21</v>
      </c>
      <c r="B20" s="14" t="n">
        <f aca="false">B19*365</f>
        <v>37.6853409237935</v>
      </c>
      <c r="C20" s="14" t="n">
        <f aca="false">C19*365</f>
        <v>44.3488721804511</v>
      </c>
      <c r="D20" s="14" t="n">
        <f aca="false">D19*365</f>
        <v>40.1937865272224</v>
      </c>
    </row>
    <row r="21" customFormat="false" ht="15" hidden="false" customHeight="false" outlineLevel="0" collapsed="false">
      <c r="A21" s="8" t="s">
        <v>22</v>
      </c>
      <c r="B21" s="15" t="n">
        <v>4.3</v>
      </c>
      <c r="C21" s="16" t="n">
        <v>4.15</v>
      </c>
      <c r="D21" s="16" t="n">
        <v>4.4</v>
      </c>
    </row>
    <row r="23" customFormat="false" ht="15" hidden="false" customHeight="false" outlineLevel="0" collapsed="false">
      <c r="A23" s="17" t="s">
        <v>23</v>
      </c>
    </row>
    <row r="24" customFormat="false" ht="15" hidden="false" customHeight="true" outlineLevel="0" collapsed="false">
      <c r="A24" s="18" t="s">
        <v>24</v>
      </c>
      <c r="B24" s="18"/>
      <c r="C24" s="18"/>
      <c r="D24" s="18"/>
    </row>
    <row r="25" customFormat="false" ht="15" hidden="false" customHeight="true" outlineLevel="0" collapsed="false">
      <c r="A25" s="18" t="s">
        <v>25</v>
      </c>
      <c r="B25" s="18"/>
      <c r="C25" s="18"/>
      <c r="D25" s="18"/>
    </row>
    <row r="26" customFormat="false" ht="15" hidden="false" customHeight="true" outlineLevel="0" collapsed="false">
      <c r="A26" s="18" t="s">
        <v>26</v>
      </c>
      <c r="B26" s="18"/>
      <c r="C26" s="18"/>
      <c r="D26" s="18"/>
    </row>
    <row r="27" customFormat="false" ht="15" hidden="false" customHeight="true" outlineLevel="0" collapsed="false">
      <c r="A27" s="18" t="s">
        <v>27</v>
      </c>
      <c r="B27" s="18"/>
      <c r="C27" s="18"/>
      <c r="D27" s="18"/>
    </row>
    <row r="28" customFormat="false" ht="15" hidden="false" customHeight="true" outlineLevel="0" collapsed="false">
      <c r="A28" s="18" t="s">
        <v>28</v>
      </c>
      <c r="B28" s="18"/>
      <c r="C28" s="18"/>
      <c r="D28" s="18"/>
    </row>
  </sheetData>
  <mergeCells count="5">
    <mergeCell ref="A24:D24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2026-07-29T22:50:18Z</dcterms:created>
  <dc:creator>openpyxl</dc:creator>
  <dc:description/>
  <dc:language>en-US</dc:language>
  <cp:lastModifiedBy/>
  <dcterms:modified xsi:type="dcterms:W3CDTF">2026-07-29T22:50:18Z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